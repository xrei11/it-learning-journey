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IT-Journey\02-Data Analytics\Excel\"/>
    </mc:Choice>
  </mc:AlternateContent>
  <xr:revisionPtr revIDLastSave="0" documentId="13_ncr:1_{F4481176-8F44-410C-8707-74B8A332B285}" xr6:coauthVersionLast="47" xr6:coauthVersionMax="47" xr10:uidLastSave="{00000000-0000-0000-0000-000000000000}"/>
  <bookViews>
    <workbookView xWindow="-108" yWindow="-108" windowWidth="23256" windowHeight="12456" firstSheet="1" activeTab="3" xr2:uid="{DAFC217B-85CD-4982-843D-B39ACCF91BA0}"/>
  </bookViews>
  <sheets>
    <sheet name="Practice" sheetId="5" r:id="rId1"/>
    <sheet name="Sales Data" sheetId="1" r:id="rId2"/>
    <sheet name="Analysis" sheetId="3" r:id="rId3"/>
    <sheet name="Report" sheetId="4" r:id="rId4"/>
  </sheets>
  <calcPr calcId="191029"/>
  <pivotCaches>
    <pivotCache cacheId="2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4" l="1"/>
  <c r="B4" i="4"/>
  <c r="B6" i="4"/>
  <c r="B5" i="4"/>
  <c r="B2" i="4"/>
  <c r="I3" i="5"/>
  <c r="I2" i="5"/>
  <c r="F2" i="5"/>
  <c r="F3" i="5"/>
  <c r="F4" i="5"/>
  <c r="F5" i="5"/>
  <c r="F6" i="5"/>
  <c r="F7" i="5"/>
  <c r="E18" i="5"/>
  <c r="B17" i="5"/>
  <c r="B16" i="5"/>
  <c r="B15" i="5"/>
  <c r="B14" i="5"/>
  <c r="B13" i="5"/>
  <c r="B12" i="5"/>
  <c r="B11" i="5"/>
  <c r="B10" i="5"/>
  <c r="E18" i="1"/>
  <c r="B14" i="1"/>
  <c r="B13" i="1"/>
  <c r="B10" i="1"/>
  <c r="B11" i="1"/>
  <c r="B17" i="1"/>
  <c r="B16" i="1"/>
  <c r="B15" i="1" l="1"/>
  <c r="B12" i="1"/>
</calcChain>
</file>

<file path=xl/sharedStrings.xml><?xml version="1.0" encoding="utf-8"?>
<sst xmlns="http://schemas.openxmlformats.org/spreadsheetml/2006/main" count="75" uniqueCount="34">
  <si>
    <t>Product</t>
  </si>
  <si>
    <t>Category</t>
  </si>
  <si>
    <t>Quantity</t>
  </si>
  <si>
    <t>Unit Price</t>
  </si>
  <si>
    <t>Notebook</t>
  </si>
  <si>
    <t>School</t>
  </si>
  <si>
    <t>Pen</t>
  </si>
  <si>
    <t>Coffee</t>
  </si>
  <si>
    <t>Food</t>
  </si>
  <si>
    <t>Sandwich</t>
  </si>
  <si>
    <t>Total Sales</t>
  </si>
  <si>
    <t>SUM</t>
  </si>
  <si>
    <t>AVERAGE</t>
  </si>
  <si>
    <t>COUNT</t>
  </si>
  <si>
    <t>MIN</t>
  </si>
  <si>
    <t>MAX</t>
  </si>
  <si>
    <t>SUMIF</t>
  </si>
  <si>
    <t>COUNTIF</t>
  </si>
  <si>
    <t xml:space="preserve">IF </t>
  </si>
  <si>
    <t>XLOOKUP</t>
  </si>
  <si>
    <t>Search Product</t>
  </si>
  <si>
    <t>Price</t>
  </si>
  <si>
    <t>Sum of Total Sales</t>
  </si>
  <si>
    <t>Row Labels</t>
  </si>
  <si>
    <t>Grand Total</t>
  </si>
  <si>
    <t>Amount</t>
  </si>
  <si>
    <t>Empty Cells</t>
  </si>
  <si>
    <t>school</t>
  </si>
  <si>
    <t xml:space="preserve"> School</t>
  </si>
  <si>
    <t>Clean Category</t>
  </si>
  <si>
    <t>Food Sales</t>
  </si>
  <si>
    <t>Food and School Sales</t>
  </si>
  <si>
    <t>School Sales</t>
  </si>
  <si>
    <t xml:space="preserve">Summary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</si>
</sst>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₱&quot;* #,##0.00_-;\-&quot;₱&quot;* #,##0.00_-;_-&quot;₱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1" applyFont="1"/>
    <xf numFmtId="44" fontId="0" fillId="0" borderId="0" xfId="1" applyFont="1" applyAlignment="1">
      <alignment vertical="center" wrapText="1"/>
    </xf>
    <xf numFmtId="44" fontId="0" fillId="0" borderId="0" xfId="0" applyNumberFormat="1"/>
  </cellXfs>
  <cellStyles count="2">
    <cellStyle name="Currency" xfId="1" builtinId="4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[Fundamentals.xlsx]Analysis!PivotTable16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Analysis!$A$2:$A$4</c:f>
              <c:strCache>
                <c:ptCount val="2"/>
                <c:pt idx="0">
                  <c:v>Food</c:v>
                </c:pt>
                <c:pt idx="1">
                  <c:v>School</c:v>
                </c:pt>
              </c:strCache>
            </c:strRef>
          </c:cat>
          <c:val>
            <c:numRef>
              <c:f>Analysis!$B$2:$B$4</c:f>
              <c:numCache>
                <c:formatCode>General</c:formatCode>
                <c:ptCount val="2"/>
                <c:pt idx="0">
                  <c:v>480</c:v>
                </c:pt>
                <c:pt idx="1">
                  <c:v>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8D-4BD6-AFFB-C99C3495153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50"/>
        <c:axId val="1419003408"/>
        <c:axId val="1674096496"/>
      </c:barChart>
      <c:catAx>
        <c:axId val="141900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096496"/>
        <c:crosses val="autoZero"/>
        <c:auto val="1"/>
        <c:lblAlgn val="ctr"/>
        <c:lblOffset val="100"/>
        <c:noMultiLvlLbl val="0"/>
      </c:catAx>
      <c:valAx>
        <c:axId val="167409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00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5</xdr:row>
      <xdr:rowOff>110490</xdr:rowOff>
    </xdr:from>
    <xdr:to>
      <xdr:col>6</xdr:col>
      <xdr:colOff>259080</xdr:colOff>
      <xdr:row>20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2E667F-0A7E-8846-6826-36AB668104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243840</xdr:colOff>
      <xdr:row>0</xdr:row>
      <xdr:rowOff>129540</xdr:rowOff>
    </xdr:from>
    <xdr:to>
      <xdr:col>8</xdr:col>
      <xdr:colOff>518160</xdr:colOff>
      <xdr:row>21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B73A09F-75E8-B9DD-4A8E-34CD506D2318}"/>
            </a:ext>
          </a:extLst>
        </xdr:cNvPr>
        <xdr:cNvSpPr txBox="1"/>
      </xdr:nvSpPr>
      <xdr:spPr>
        <a:xfrm>
          <a:off x="2118360" y="129540"/>
          <a:ext cx="3931920" cy="3710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/>
            <a:t>Mini Sales Analysis</a:t>
          </a:r>
          <a:r>
            <a:rPr lang="en-PH" sz="1100" baseline="0"/>
            <a:t> Report</a:t>
          </a:r>
        </a:p>
        <a:p>
          <a:endParaRPr lang="en-PH" sz="1100" baseline="0"/>
        </a:p>
        <a:p>
          <a:r>
            <a:rPr lang="en-PH" sz="1100" baseline="0"/>
            <a:t>Objective: The Objective of this analysis is to summarize six dataset samples, compare sales between Food and School categories, the average sale and reviews of each product.</a:t>
          </a:r>
        </a:p>
        <a:p>
          <a:endParaRPr lang="en-PH" sz="1100" baseline="0"/>
        </a:p>
        <a:p>
          <a:r>
            <a:rPr lang="en-PH" sz="1100" baseline="0"/>
            <a:t>Key Findings:</a:t>
          </a:r>
        </a:p>
        <a:p>
          <a:r>
            <a:rPr lang="en-PH" sz="1100" baseline="0"/>
            <a:t>- Total Sales amounted up to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₱ 885</a:t>
          </a:r>
          <a:r>
            <a:rPr lang="en-PH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across six records.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PH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The Sale's Average is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₱ 147.50</a:t>
          </a:r>
          <a:r>
            <a:rPr lang="en-PH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PH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Food able to generate 480 in sales, while School generated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₱405.</a:t>
          </a:r>
        </a:p>
        <a:p>
          <a:r>
            <a:rPr lang="en-PH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Food sales have generated more than School sales by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₱75. </a:t>
          </a:r>
        </a:p>
        <a:p>
          <a:r>
            <a:rPr lang="en-PH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Both Coffee and Sandwich generate the highest individual sales total at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₱ 240</a:t>
          </a:r>
          <a:r>
            <a:rPr lang="en-PH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each.</a:t>
          </a:r>
        </a:p>
        <a:p>
          <a:r>
            <a:rPr lang="en-PH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 Pen generated the lowest individual sales total  at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₱ 60.</a:t>
          </a:r>
        </a:p>
        <a:p>
          <a:endParaRPr lang="en-PH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Conclusion</a:t>
          </a:r>
        </a:p>
        <a:p>
          <a:r>
            <a:rPr lang="en-PH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this sample. Food generated the most in this category by total sales value.  The table produced a basic overview of given transactions. In which, more records would be implemented to determine if this pattern exceeds the cdataset overtime.</a:t>
          </a:r>
          <a:endParaRPr lang="en-PH" sz="1100" baseline="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i" refreshedDate="46304.933337962961" createdVersion="8" refreshedVersion="8" minRefreshableVersion="3" recordCount="6" xr:uid="{CC9890F9-8DB3-411B-BBE7-0B9E790101A2}">
  <cacheSource type="worksheet">
    <worksheetSource name="Table1"/>
  </cacheSource>
  <cacheFields count="7">
    <cacheField name="Product" numFmtId="0">
      <sharedItems/>
    </cacheField>
    <cacheField name="Category" numFmtId="0">
      <sharedItems count="2">
        <s v="School"/>
        <s v="Food"/>
      </sharedItems>
    </cacheField>
    <cacheField name="Quantity" numFmtId="0">
      <sharedItems containsSemiMixedTypes="0" containsString="0" containsNumber="1" containsInteger="1" minValue="2" maxValue="5"/>
    </cacheField>
    <cacheField name="Unit Price" numFmtId="0">
      <sharedItems containsSemiMixedTypes="0" containsString="0" containsNumber="1" containsInteger="1" minValue="15" maxValue="120"/>
    </cacheField>
    <cacheField name="Total Sales" numFmtId="0">
      <sharedItems containsSemiMixedTypes="0" containsString="0" containsNumber="1" containsInteger="1" minValue="60" maxValue="240"/>
    </cacheField>
    <cacheField name="Sales level" numFmtId="0">
      <sharedItems/>
    </cacheField>
    <cacheField name="Feedbac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Notebook"/>
    <x v="0"/>
    <n v="4"/>
    <n v="45"/>
    <n v="180"/>
    <s v="High"/>
    <s v="Good"/>
  </r>
  <r>
    <s v="Pen"/>
    <x v="0"/>
    <n v="5"/>
    <n v="15"/>
    <n v="75"/>
    <s v="Low"/>
    <s v="Good"/>
  </r>
  <r>
    <s v="Coffee"/>
    <x v="1"/>
    <n v="2"/>
    <n v="120"/>
    <n v="240"/>
    <s v="High"/>
    <s v="Good"/>
  </r>
  <r>
    <s v="Notebook"/>
    <x v="0"/>
    <n v="2"/>
    <n v="45"/>
    <n v="90"/>
    <s v="Low"/>
    <s v="Good"/>
  </r>
  <r>
    <s v="Sandwich"/>
    <x v="1"/>
    <n v="3"/>
    <n v="80"/>
    <n v="240"/>
    <s v="High"/>
    <s v="Good"/>
  </r>
  <r>
    <s v="Pen"/>
    <x v="0"/>
    <n v="4"/>
    <n v="15"/>
    <n v="60"/>
    <s v="Low"/>
    <s v="Goo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83D03F-B2A3-4F16-9565-7402A9469003}" name="PivotTable1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:B4" firstHeaderRow="1" firstDataRow="1" firstDataCol="1"/>
  <pivotFields count="7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Total Sales" fld="4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9F341D7-11F6-4A54-B617-5CA78BC32127}" name="Table19" displayName="Table19" ref="A1:F7" totalsRowShown="0">
  <autoFilter ref="A1:F7" xr:uid="{B870296B-A9CE-475E-9E7A-8E6C69B6D0F7}"/>
  <tableColumns count="6">
    <tableColumn id="1" xr3:uid="{90C267F6-1232-4860-BC8B-DCD57F1C85F0}" name="Product"/>
    <tableColumn id="2" xr3:uid="{E1FB5A50-64FF-4516-AF7C-91C4ABD91B5B}" name="Category"/>
    <tableColumn id="3" xr3:uid="{A20210D3-DD65-443A-9CC3-B22B213535B3}" name="Quantity"/>
    <tableColumn id="4" xr3:uid="{2F319938-8F57-4E06-97CC-DE1E62F2C284}" name="Unit Price" dataCellStyle="Currency"/>
    <tableColumn id="5" xr3:uid="{285536FC-F07F-4E04-A4A1-600311942060}" name="Total Sales" dataCellStyle="Currency"/>
    <tableColumn id="8" xr3:uid="{E92125A0-4DF0-4A2C-B745-E59A42E6481C}" name="Clean Category" dataDxfId="0">
      <calculatedColumnFormula>TRIM(PROPER(B2))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70296B-A9CE-475E-9E7A-8E6C69B6D0F7}" name="Table1" displayName="Table1" ref="A1:E7" totalsRowShown="0">
  <autoFilter ref="A1:E7" xr:uid="{B870296B-A9CE-475E-9E7A-8E6C69B6D0F7}"/>
  <tableColumns count="5">
    <tableColumn id="1" xr3:uid="{B8B66229-41DB-4F6F-81CD-0B3DF7357492}" name="Product"/>
    <tableColumn id="2" xr3:uid="{47395FAC-82CC-4695-AF46-6B73CCCE9CB3}" name="Category"/>
    <tableColumn id="3" xr3:uid="{4B0869B7-461C-4E0C-B34B-D0FB99763577}" name="Quantity"/>
    <tableColumn id="4" xr3:uid="{2F4D720B-0CEF-4364-AB18-DAB36ADD4289}" name="Unit Price" dataCellStyle="Currency"/>
    <tableColumn id="5" xr3:uid="{6F825A0B-F439-43B3-9584-6E0DB8287DC5}" name="Total Sales" dataCellStyl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F17634C-974F-46C0-BF02-B851F049E740}" name="Table2" displayName="Table2" ref="A1:B6" totalsRowShown="0">
  <autoFilter ref="A1:B6" xr:uid="{FF17634C-974F-46C0-BF02-B851F049E740}"/>
  <tableColumns count="2">
    <tableColumn id="1" xr3:uid="{09B02002-88F9-4E08-87CD-1ED810802A73}" name="Summary "/>
    <tableColumn id="2" xr3:uid="{AB0442AC-F21C-4136-9002-50BBDF1DD701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52AC8-05FF-4E83-8F44-E165EEAB82E7}">
  <dimension ref="A1:I18"/>
  <sheetViews>
    <sheetView topLeftCell="C1" workbookViewId="0">
      <selection activeCell="F12" sqref="F12"/>
    </sheetView>
  </sheetViews>
  <sheetFormatPr defaultRowHeight="14.4" x14ac:dyDescent="0.3"/>
  <cols>
    <col min="1" max="1" width="12" bestFit="1" customWidth="1"/>
    <col min="2" max="2" width="13.44140625" bestFit="1" customWidth="1"/>
    <col min="3" max="3" width="12.5546875" bestFit="1" customWidth="1"/>
    <col min="4" max="4" width="13.5546875" bestFit="1" customWidth="1"/>
    <col min="5" max="5" width="14.44140625" bestFit="1" customWidth="1"/>
    <col min="6" max="6" width="13.44140625" bestFit="1" customWidth="1"/>
    <col min="7" max="7" width="11.44140625" bestFit="1" customWidth="1"/>
    <col min="8" max="8" width="13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t="s">
        <v>29</v>
      </c>
      <c r="H1" t="s">
        <v>29</v>
      </c>
      <c r="I1" t="s">
        <v>10</v>
      </c>
    </row>
    <row r="2" spans="1:9" x14ac:dyDescent="0.3">
      <c r="A2" s="2" t="s">
        <v>4</v>
      </c>
      <c r="B2" s="2" t="s">
        <v>5</v>
      </c>
      <c r="C2" s="2">
        <v>4</v>
      </c>
      <c r="D2" s="7">
        <v>45</v>
      </c>
      <c r="E2" s="7">
        <v>180</v>
      </c>
      <c r="F2" t="str">
        <f>TRIM(PROPER(B2))</f>
        <v>School</v>
      </c>
      <c r="H2" t="s">
        <v>8</v>
      </c>
      <c r="I2">
        <f>SUMIF(F2:F7, H2,E2:E7)</f>
        <v>480</v>
      </c>
    </row>
    <row r="3" spans="1:9" x14ac:dyDescent="0.3">
      <c r="A3" s="2" t="s">
        <v>6</v>
      </c>
      <c r="B3" s="2" t="s">
        <v>27</v>
      </c>
      <c r="C3" s="2">
        <v>5</v>
      </c>
      <c r="D3" s="7">
        <v>15</v>
      </c>
      <c r="E3" s="7">
        <v>75</v>
      </c>
      <c r="F3" t="str">
        <f t="shared" ref="F2:F7" si="0">TRIM(PROPER(B3))</f>
        <v>School</v>
      </c>
      <c r="H3" t="s">
        <v>5</v>
      </c>
      <c r="I3">
        <f>SUMIF(F2:F7, H3,E2:E7)</f>
        <v>405</v>
      </c>
    </row>
    <row r="4" spans="1:9" x14ac:dyDescent="0.3">
      <c r="A4" s="2" t="s">
        <v>7</v>
      </c>
      <c r="B4" s="2" t="s">
        <v>8</v>
      </c>
      <c r="C4" s="2">
        <v>2</v>
      </c>
      <c r="D4" s="7">
        <v>120</v>
      </c>
      <c r="E4" s="7">
        <v>240</v>
      </c>
      <c r="F4" t="str">
        <f t="shared" si="0"/>
        <v>Food</v>
      </c>
    </row>
    <row r="5" spans="1:9" x14ac:dyDescent="0.3">
      <c r="A5" s="2" t="s">
        <v>4</v>
      </c>
      <c r="B5" s="2" t="s">
        <v>28</v>
      </c>
      <c r="C5" s="2">
        <v>2</v>
      </c>
      <c r="D5" s="7">
        <v>45</v>
      </c>
      <c r="E5" s="7">
        <v>90</v>
      </c>
      <c r="F5" t="str">
        <f t="shared" si="0"/>
        <v>School</v>
      </c>
    </row>
    <row r="6" spans="1:9" x14ac:dyDescent="0.3">
      <c r="A6" s="2" t="s">
        <v>9</v>
      </c>
      <c r="B6" s="2" t="s">
        <v>8</v>
      </c>
      <c r="C6" s="2">
        <v>3</v>
      </c>
      <c r="D6" s="7">
        <v>80</v>
      </c>
      <c r="E6" s="7">
        <v>240</v>
      </c>
      <c r="F6" t="str">
        <f t="shared" si="0"/>
        <v>Food</v>
      </c>
    </row>
    <row r="7" spans="1:9" x14ac:dyDescent="0.3">
      <c r="A7" s="2" t="s">
        <v>6</v>
      </c>
      <c r="B7" s="2" t="s">
        <v>5</v>
      </c>
      <c r="C7" s="2">
        <v>4</v>
      </c>
      <c r="D7" s="7">
        <v>15</v>
      </c>
      <c r="E7" s="7">
        <v>60</v>
      </c>
      <c r="F7" t="str">
        <f t="shared" si="0"/>
        <v>School</v>
      </c>
    </row>
    <row r="10" spans="1:9" x14ac:dyDescent="0.3">
      <c r="A10" t="s">
        <v>11</v>
      </c>
      <c r="B10" s="8">
        <f>SUM(E2:E7)</f>
        <v>885</v>
      </c>
    </row>
    <row r="11" spans="1:9" x14ac:dyDescent="0.3">
      <c r="A11" t="s">
        <v>12</v>
      </c>
      <c r="B11" s="8">
        <f>AVERAGE(E2:E7)</f>
        <v>147.5</v>
      </c>
    </row>
    <row r="12" spans="1:9" x14ac:dyDescent="0.3">
      <c r="A12" t="s">
        <v>13</v>
      </c>
      <c r="B12">
        <f>COUNT(E2:E7)</f>
        <v>6</v>
      </c>
    </row>
    <row r="13" spans="1:9" x14ac:dyDescent="0.3">
      <c r="A13" t="s">
        <v>14</v>
      </c>
      <c r="B13" s="8">
        <f>MIN(E2:E7)</f>
        <v>60</v>
      </c>
    </row>
    <row r="14" spans="1:9" x14ac:dyDescent="0.3">
      <c r="A14" t="s">
        <v>15</v>
      </c>
      <c r="B14" s="8">
        <f>MAX(E2:E7)</f>
        <v>240</v>
      </c>
    </row>
    <row r="15" spans="1:9" x14ac:dyDescent="0.3">
      <c r="A15" t="s">
        <v>16</v>
      </c>
      <c r="B15">
        <f>SUMIF(Table19[Category], "Food", Table19[Total Sales])</f>
        <v>480</v>
      </c>
    </row>
    <row r="16" spans="1:9" x14ac:dyDescent="0.3">
      <c r="A16" t="s">
        <v>17</v>
      </c>
      <c r="B16">
        <f>COUNTIF(Table19[Category], "Food")</f>
        <v>2</v>
      </c>
    </row>
    <row r="17" spans="1:5" x14ac:dyDescent="0.3">
      <c r="A17" t="s">
        <v>18</v>
      </c>
      <c r="B17" t="str">
        <f>IF(Table19[[#Headers],[Total Sales]]&gt;=100, "Good", "Needs Review")</f>
        <v>Good</v>
      </c>
    </row>
    <row r="18" spans="1:5" x14ac:dyDescent="0.3">
      <c r="A18" t="s">
        <v>19</v>
      </c>
      <c r="B18" t="s">
        <v>20</v>
      </c>
      <c r="C18" t="s">
        <v>7</v>
      </c>
      <c r="D18" t="s">
        <v>21</v>
      </c>
      <c r="E18" s="6">
        <f>_xlfn.XLOOKUP(C18, A2:A7, D2:D7)</f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B0C87-2054-45E7-8A70-DDC72A7965D1}">
  <dimension ref="A1:E18"/>
  <sheetViews>
    <sheetView workbookViewId="0">
      <selection activeCell="F6" sqref="F6"/>
    </sheetView>
  </sheetViews>
  <sheetFormatPr defaultRowHeight="14.4" x14ac:dyDescent="0.3"/>
  <cols>
    <col min="1" max="1" width="12" bestFit="1" customWidth="1"/>
    <col min="2" max="2" width="13.44140625" bestFit="1" customWidth="1"/>
    <col min="3" max="3" width="12.5546875" bestFit="1" customWidth="1"/>
    <col min="4" max="4" width="13.5546875" bestFit="1" customWidth="1"/>
    <col min="5" max="5" width="14.44140625" bestFit="1" customWidth="1"/>
    <col min="6" max="6" width="13.44140625" bestFit="1" customWidth="1"/>
    <col min="7" max="7" width="11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</row>
    <row r="2" spans="1:5" x14ac:dyDescent="0.3">
      <c r="A2" s="2" t="s">
        <v>4</v>
      </c>
      <c r="B2" s="2" t="s">
        <v>5</v>
      </c>
      <c r="C2" s="2">
        <v>4</v>
      </c>
      <c r="D2" s="7">
        <v>45</v>
      </c>
      <c r="E2" s="7">
        <v>180</v>
      </c>
    </row>
    <row r="3" spans="1:5" x14ac:dyDescent="0.3">
      <c r="A3" s="2" t="s">
        <v>6</v>
      </c>
      <c r="B3" s="2" t="s">
        <v>5</v>
      </c>
      <c r="C3" s="2">
        <v>5</v>
      </c>
      <c r="D3" s="7">
        <v>15</v>
      </c>
      <c r="E3" s="7">
        <v>75</v>
      </c>
    </row>
    <row r="4" spans="1:5" x14ac:dyDescent="0.3">
      <c r="A4" s="2" t="s">
        <v>7</v>
      </c>
      <c r="B4" s="2" t="s">
        <v>8</v>
      </c>
      <c r="C4" s="2">
        <v>2</v>
      </c>
      <c r="D4" s="7">
        <v>120</v>
      </c>
      <c r="E4" s="7">
        <v>240</v>
      </c>
    </row>
    <row r="5" spans="1:5" x14ac:dyDescent="0.3">
      <c r="A5" s="2" t="s">
        <v>4</v>
      </c>
      <c r="B5" s="2" t="s">
        <v>5</v>
      </c>
      <c r="C5" s="2">
        <v>2</v>
      </c>
      <c r="D5" s="7">
        <v>45</v>
      </c>
      <c r="E5" s="7">
        <v>90</v>
      </c>
    </row>
    <row r="6" spans="1:5" x14ac:dyDescent="0.3">
      <c r="A6" s="2" t="s">
        <v>9</v>
      </c>
      <c r="B6" s="2" t="s">
        <v>8</v>
      </c>
      <c r="C6" s="2">
        <v>3</v>
      </c>
      <c r="D6" s="7">
        <v>80</v>
      </c>
      <c r="E6" s="7">
        <v>240</v>
      </c>
    </row>
    <row r="7" spans="1:5" x14ac:dyDescent="0.3">
      <c r="A7" s="2" t="s">
        <v>6</v>
      </c>
      <c r="B7" s="2" t="s">
        <v>5</v>
      </c>
      <c r="C7" s="2">
        <v>4</v>
      </c>
      <c r="D7" s="7">
        <v>15</v>
      </c>
      <c r="E7" s="7">
        <v>60</v>
      </c>
    </row>
    <row r="10" spans="1:5" x14ac:dyDescent="0.3">
      <c r="A10" t="s">
        <v>11</v>
      </c>
      <c r="B10" s="8">
        <f>SUM(E2:E7)</f>
        <v>885</v>
      </c>
    </row>
    <row r="11" spans="1:5" x14ac:dyDescent="0.3">
      <c r="A11" t="s">
        <v>12</v>
      </c>
      <c r="B11" s="8">
        <f>AVERAGE(E2:E7)</f>
        <v>147.5</v>
      </c>
    </row>
    <row r="12" spans="1:5" x14ac:dyDescent="0.3">
      <c r="A12" t="s">
        <v>13</v>
      </c>
      <c r="B12">
        <f>COUNT(E2:E7)</f>
        <v>6</v>
      </c>
    </row>
    <row r="13" spans="1:5" x14ac:dyDescent="0.3">
      <c r="A13" t="s">
        <v>14</v>
      </c>
      <c r="B13" s="8">
        <f>MIN(E2:E7)</f>
        <v>60</v>
      </c>
    </row>
    <row r="14" spans="1:5" x14ac:dyDescent="0.3">
      <c r="A14" t="s">
        <v>15</v>
      </c>
      <c r="B14" s="8">
        <f>MAX(E2:E7)</f>
        <v>240</v>
      </c>
    </row>
    <row r="15" spans="1:5" x14ac:dyDescent="0.3">
      <c r="A15" t="s">
        <v>16</v>
      </c>
      <c r="B15">
        <f>SUMIF(Table1[Category], "Food", Table1[Total Sales])</f>
        <v>480</v>
      </c>
    </row>
    <row r="16" spans="1:5" x14ac:dyDescent="0.3">
      <c r="A16" t="s">
        <v>17</v>
      </c>
      <c r="B16">
        <f>COUNTIF(Table1[Category], "Food")</f>
        <v>2</v>
      </c>
    </row>
    <row r="17" spans="1:5" x14ac:dyDescent="0.3">
      <c r="A17" t="s">
        <v>18</v>
      </c>
      <c r="B17" t="str">
        <f>IF(Table1[[#Headers],[Total Sales]]&gt;=100, "Good", "Needs Review")</f>
        <v>Good</v>
      </c>
    </row>
    <row r="18" spans="1:5" x14ac:dyDescent="0.3">
      <c r="A18" t="s">
        <v>19</v>
      </c>
      <c r="B18" t="s">
        <v>20</v>
      </c>
      <c r="C18" t="s">
        <v>7</v>
      </c>
      <c r="D18" t="s">
        <v>21</v>
      </c>
      <c r="E18" s="6">
        <f>_xlfn.XLOOKUP(C18, A2:A7, D2:D7)</f>
        <v>120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24BBC-95D6-4620-97AE-7B2B5FE86755}">
  <dimension ref="A1:B4"/>
  <sheetViews>
    <sheetView workbookViewId="0">
      <selection activeCell="H17" sqref="H17"/>
    </sheetView>
  </sheetViews>
  <sheetFormatPr defaultRowHeight="14.4" x14ac:dyDescent="0.3"/>
  <cols>
    <col min="1" max="1" width="12.44140625" bestFit="1" customWidth="1"/>
    <col min="2" max="2" width="16.109375" bestFit="1" customWidth="1"/>
  </cols>
  <sheetData>
    <row r="1" spans="1:2" x14ac:dyDescent="0.3">
      <c r="A1" s="3" t="s">
        <v>23</v>
      </c>
      <c r="B1" t="s">
        <v>22</v>
      </c>
    </row>
    <row r="2" spans="1:2" x14ac:dyDescent="0.3">
      <c r="A2" s="4" t="s">
        <v>8</v>
      </c>
      <c r="B2" s="5">
        <v>480</v>
      </c>
    </row>
    <row r="3" spans="1:2" x14ac:dyDescent="0.3">
      <c r="A3" s="4" t="s">
        <v>5</v>
      </c>
      <c r="B3" s="5">
        <v>405</v>
      </c>
    </row>
    <row r="4" spans="1:2" x14ac:dyDescent="0.3">
      <c r="A4" s="4" t="s">
        <v>24</v>
      </c>
      <c r="B4" s="5">
        <v>885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7E1BE-92D1-4544-8B07-D445CA13AC85}">
  <dimension ref="A1:B6"/>
  <sheetViews>
    <sheetView tabSelected="1" workbookViewId="0">
      <selection activeCell="B2" sqref="B2"/>
    </sheetView>
  </sheetViews>
  <sheetFormatPr defaultRowHeight="14.4" x14ac:dyDescent="0.3"/>
  <cols>
    <col min="1" max="1" width="19" bestFit="1" customWidth="1"/>
    <col min="2" max="2" width="11.6640625" customWidth="1"/>
  </cols>
  <sheetData>
    <row r="1" spans="1:2" x14ac:dyDescent="0.3">
      <c r="A1" t="s">
        <v>33</v>
      </c>
      <c r="B1" s="8" t="s">
        <v>25</v>
      </c>
    </row>
    <row r="2" spans="1:2" x14ac:dyDescent="0.3">
      <c r="A2" t="s">
        <v>10</v>
      </c>
      <c r="B2" s="8">
        <f>SUM('Sales Data'!E2:E7)</f>
        <v>885</v>
      </c>
    </row>
    <row r="3" spans="1:2" x14ac:dyDescent="0.3">
      <c r="A3" t="s">
        <v>30</v>
      </c>
      <c r="B3" s="6">
        <f>SUMIF('Sales Data'!B2:B7, "Food", 'Sales Data'!E2:E7)</f>
        <v>480</v>
      </c>
    </row>
    <row r="4" spans="1:2" x14ac:dyDescent="0.3">
      <c r="A4" t="s">
        <v>32</v>
      </c>
      <c r="B4" s="6">
        <f>SUMIF('Sales Data'!B2:B7, "School", 'Sales Data'!E2:E7)</f>
        <v>405</v>
      </c>
    </row>
    <row r="5" spans="1:2" x14ac:dyDescent="0.3">
      <c r="A5" t="s">
        <v>31</v>
      </c>
      <c r="B5" s="8">
        <f>SUM('Sales Data'!E2:E7)</f>
        <v>885</v>
      </c>
    </row>
    <row r="6" spans="1:2" x14ac:dyDescent="0.3">
      <c r="A6" t="s">
        <v>26</v>
      </c>
      <c r="B6">
        <f>COUNTBLANK('Sales Data'!A2:D7)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Practice</vt:lpstr>
      <vt:lpstr>Sales Data</vt:lpstr>
      <vt:lpstr>Analysis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ANDREI P</dc:creator>
  <cp:lastModifiedBy>GERALD ANDREI P</cp:lastModifiedBy>
  <dcterms:created xsi:type="dcterms:W3CDTF">2026-10-09T07:32:14Z</dcterms:created>
  <dcterms:modified xsi:type="dcterms:W3CDTF">2026-10-09T16:44:25Z</dcterms:modified>
</cp:coreProperties>
</file>